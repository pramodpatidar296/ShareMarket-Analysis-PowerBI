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Groww/G-Holding_Share/"/>
    </mc:Choice>
  </mc:AlternateContent>
  <xr:revisionPtr revIDLastSave="27" documentId="106_{8BD15E28-02F9-4D8F-8C9F-F39782D7762D}" xr6:coauthVersionLast="47" xr6:coauthVersionMax="47" xr10:uidLastSave="{B92ACEA3-13E0-4DBF-8A1C-9E6E8A2A6894}"/>
  <bookViews>
    <workbookView xWindow="28680" yWindow="-120" windowWidth="20730" windowHeight="11040" xr2:uid="{1B6D2782-9757-47F7-AB6A-C4276C5FD9C0}"/>
  </bookViews>
  <sheets>
    <sheet name="G-Holding_Shar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2" i="1"/>
</calcChain>
</file>

<file path=xl/sharedStrings.xml><?xml version="1.0" encoding="utf-8"?>
<sst xmlns="http://schemas.openxmlformats.org/spreadsheetml/2006/main" count="15" uniqueCount="15">
  <si>
    <t>Stock Name</t>
  </si>
  <si>
    <t>ISIN</t>
  </si>
  <si>
    <t>Quantity</t>
  </si>
  <si>
    <t>Average buy price</t>
  </si>
  <si>
    <t>Buy value</t>
  </si>
  <si>
    <t>Closing price</t>
  </si>
  <si>
    <t>Closing value</t>
  </si>
  <si>
    <t>Unrealised P&amp;L</t>
  </si>
  <si>
    <t>BSE LIMITED</t>
  </si>
  <si>
    <t>INE118H01025</t>
  </si>
  <si>
    <t>TATA CONSULTANCY SERV LT</t>
  </si>
  <si>
    <t>INE467B01029</t>
  </si>
  <si>
    <t>TECH MAHINDRA LIMITED</t>
  </si>
  <si>
    <t>INE669C01036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</si>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</sst>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0" fillId="2" borderId="0" xfId="0" applyFill="1"/>
  </cellXfs>
  <cellStyles count="2">
    <cellStyle name="Normal" xfId="0" builtinId="0"/>
    <cellStyle name="Normal 2" xfId="1" xr:uid="{219DE59D-F4B0-4A29-9833-E4AA82039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2308440d5f3978/Desktop/New_Ranju_Angel%20One/Groww/G-Power_BI_connected_Data.xlsx" TargetMode="External"/><Relationship Id="rId1" Type="http://schemas.openxmlformats.org/officeDocument/2006/relationships/externalLinkPath" Target="/ee2308440d5f3978/Desktop/New_Ranju_Angel%20One/Groww/G-Power_BI_connect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_Script Name"/>
    </sheetNames>
    <sheetDataSet>
      <sheetData sheetId="0">
        <row r="1">
          <cell r="B1" t="str">
            <v>Symbol</v>
          </cell>
          <cell r="C1" t="str">
            <v>ISIN</v>
          </cell>
        </row>
        <row r="2">
          <cell r="B2" t="str">
            <v>KPITTECH</v>
          </cell>
          <cell r="C2" t="str">
            <v>INE04I401011</v>
          </cell>
        </row>
        <row r="3">
          <cell r="B3" t="str">
            <v>SBIN</v>
          </cell>
          <cell r="C3" t="str">
            <v>INE062A01020</v>
          </cell>
        </row>
        <row r="4">
          <cell r="B4" t="str">
            <v>KPITTECH</v>
          </cell>
          <cell r="C4" t="str">
            <v>INE04I401011</v>
          </cell>
        </row>
        <row r="5">
          <cell r="B5" t="str">
            <v>SWIGGY</v>
          </cell>
          <cell r="C5" t="str">
            <v>INE00H001014</v>
          </cell>
        </row>
        <row r="6">
          <cell r="B6" t="str">
            <v>KPITTECH</v>
          </cell>
          <cell r="C6" t="str">
            <v>INE04I401011</v>
          </cell>
        </row>
        <row r="7">
          <cell r="B7" t="str">
            <v>INFY</v>
          </cell>
          <cell r="C7" t="str">
            <v>INE009A01021</v>
          </cell>
        </row>
        <row r="8">
          <cell r="B8" t="str">
            <v>SWIGGY</v>
          </cell>
          <cell r="C8" t="str">
            <v>INE00H001014</v>
          </cell>
        </row>
        <row r="9">
          <cell r="B9" t="str">
            <v>WIPRO</v>
          </cell>
          <cell r="C9" t="str">
            <v>INE075A01022</v>
          </cell>
        </row>
        <row r="10">
          <cell r="B10" t="str">
            <v>INFY</v>
          </cell>
          <cell r="C10" t="str">
            <v>INE009A01021</v>
          </cell>
        </row>
        <row r="11">
          <cell r="B11" t="str">
            <v>ETERNAL</v>
          </cell>
          <cell r="C11" t="str">
            <v>INE758T01015</v>
          </cell>
        </row>
        <row r="12">
          <cell r="B12" t="str">
            <v>SBIN</v>
          </cell>
          <cell r="C12" t="str">
            <v>INE062A01020</v>
          </cell>
        </row>
        <row r="13">
          <cell r="B13" t="str">
            <v>IREDA</v>
          </cell>
          <cell r="C13" t="str">
            <v>INE202E01016</v>
          </cell>
        </row>
        <row r="14">
          <cell r="B14" t="str">
            <v>TCS</v>
          </cell>
          <cell r="C14" t="str">
            <v>INE467B01029</v>
          </cell>
        </row>
        <row r="15">
          <cell r="B15" t="str">
            <v>WIPRO</v>
          </cell>
          <cell r="C15" t="str">
            <v>INE075A01022</v>
          </cell>
        </row>
        <row r="16">
          <cell r="B16" t="str">
            <v>INFY</v>
          </cell>
          <cell r="C16" t="str">
            <v>INE009A01021</v>
          </cell>
        </row>
        <row r="17">
          <cell r="B17" t="str">
            <v>WIPRO</v>
          </cell>
          <cell r="C17" t="str">
            <v>INE075A01022</v>
          </cell>
        </row>
        <row r="18">
          <cell r="B18" t="str">
            <v>KPITTECH</v>
          </cell>
          <cell r="C18" t="str">
            <v>INE04I401011</v>
          </cell>
        </row>
        <row r="19">
          <cell r="B19" t="str">
            <v>ETERNAL</v>
          </cell>
          <cell r="C19" t="str">
            <v>INE758T01015</v>
          </cell>
        </row>
        <row r="20">
          <cell r="B20" t="str">
            <v>IREDA</v>
          </cell>
          <cell r="C20" t="str">
            <v>INE202E01016</v>
          </cell>
        </row>
        <row r="21">
          <cell r="B21" t="str">
            <v>TMPV</v>
          </cell>
          <cell r="C21" t="str">
            <v>INE155A01022</v>
          </cell>
        </row>
        <row r="22">
          <cell r="B22" t="str">
            <v>WIPRO</v>
          </cell>
          <cell r="C22" t="str">
            <v>INE075A01022</v>
          </cell>
        </row>
        <row r="23">
          <cell r="B23" t="str">
            <v>TMPV</v>
          </cell>
          <cell r="C23" t="str">
            <v>INE155A01022</v>
          </cell>
        </row>
        <row r="24">
          <cell r="B24" t="str">
            <v>TMPV</v>
          </cell>
          <cell r="C24" t="str">
            <v>INE155A01022</v>
          </cell>
        </row>
        <row r="25">
          <cell r="B25" t="str">
            <v>KPITTECH</v>
          </cell>
          <cell r="C25" t="str">
            <v>INE04I401011</v>
          </cell>
        </row>
        <row r="26">
          <cell r="B26" t="str">
            <v>SWIGGY</v>
          </cell>
          <cell r="C26" t="str">
            <v>INE00H001014</v>
          </cell>
        </row>
        <row r="27">
          <cell r="B27" t="str">
            <v>TMPV</v>
          </cell>
          <cell r="C27" t="str">
            <v>INE155A01022</v>
          </cell>
        </row>
        <row r="28">
          <cell r="B28" t="str">
            <v>SWIGGY</v>
          </cell>
          <cell r="C28" t="str">
            <v>INE00H001014</v>
          </cell>
        </row>
        <row r="29">
          <cell r="B29" t="str">
            <v>TMPV</v>
          </cell>
          <cell r="C29" t="str">
            <v>INE155A01022</v>
          </cell>
        </row>
        <row r="30">
          <cell r="B30" t="str">
            <v>SWIGGY</v>
          </cell>
          <cell r="C30" t="str">
            <v>INE00H001014</v>
          </cell>
        </row>
        <row r="31">
          <cell r="B31" t="str">
            <v>KPITTECH</v>
          </cell>
          <cell r="C31" t="str">
            <v>INE04I401011</v>
          </cell>
        </row>
        <row r="32">
          <cell r="B32" t="str">
            <v>IREDA</v>
          </cell>
          <cell r="C32" t="str">
            <v>INE202E01016</v>
          </cell>
        </row>
        <row r="33">
          <cell r="B33" t="str">
            <v>KPITTECH</v>
          </cell>
          <cell r="C33" t="str">
            <v>INE04I401011</v>
          </cell>
        </row>
        <row r="34">
          <cell r="B34" t="str">
            <v>WIPRO</v>
          </cell>
          <cell r="C34" t="str">
            <v>INE075A01022</v>
          </cell>
        </row>
        <row r="35">
          <cell r="B35" t="str">
            <v>IREDA</v>
          </cell>
          <cell r="C35" t="str">
            <v>INE202E01016</v>
          </cell>
        </row>
        <row r="36">
          <cell r="B36" t="str">
            <v>MUTHOOTFIN</v>
          </cell>
          <cell r="C36" t="str">
            <v>INE414G01012</v>
          </cell>
        </row>
        <row r="37">
          <cell r="B37" t="str">
            <v>SWIGGY</v>
          </cell>
          <cell r="C37" t="str">
            <v>INE00H001014</v>
          </cell>
        </row>
        <row r="38">
          <cell r="B38" t="str">
            <v>INFY</v>
          </cell>
          <cell r="C38" t="str">
            <v>INE009A01021</v>
          </cell>
        </row>
        <row r="39">
          <cell r="B39" t="str">
            <v>SWIGGY</v>
          </cell>
          <cell r="C39" t="str">
            <v>INE00H001014</v>
          </cell>
        </row>
        <row r="40">
          <cell r="B40" t="str">
            <v>INFY</v>
          </cell>
          <cell r="C40" t="str">
            <v>INE009A01021</v>
          </cell>
        </row>
        <row r="41">
          <cell r="B41" t="str">
            <v>VBL</v>
          </cell>
          <cell r="C41" t="str">
            <v>INE200M01039</v>
          </cell>
        </row>
        <row r="42">
          <cell r="B42" t="str">
            <v>SWIGGY</v>
          </cell>
          <cell r="C42" t="str">
            <v>INE00H001014</v>
          </cell>
        </row>
        <row r="43">
          <cell r="B43" t="str">
            <v>MUTHOOTFIN</v>
          </cell>
          <cell r="C43" t="str">
            <v>INE414G01012</v>
          </cell>
        </row>
        <row r="44">
          <cell r="B44" t="str">
            <v>VBL</v>
          </cell>
          <cell r="C44" t="str">
            <v>INE200M01039</v>
          </cell>
        </row>
        <row r="45">
          <cell r="B45" t="str">
            <v>INFY</v>
          </cell>
          <cell r="C45" t="str">
            <v>INE009A01021</v>
          </cell>
        </row>
        <row r="46">
          <cell r="B46" t="str">
            <v>VBL</v>
          </cell>
          <cell r="C46" t="str">
            <v>INE200M01039</v>
          </cell>
        </row>
        <row r="47">
          <cell r="B47" t="str">
            <v>TMPV</v>
          </cell>
          <cell r="C47" t="str">
            <v>INE155A01022</v>
          </cell>
        </row>
        <row r="48">
          <cell r="B48" t="str">
            <v>VBL</v>
          </cell>
          <cell r="C48" t="str">
            <v>INE200M01039</v>
          </cell>
        </row>
        <row r="49">
          <cell r="B49" t="str">
            <v>VBL</v>
          </cell>
          <cell r="C49" t="str">
            <v>INE200M01039</v>
          </cell>
        </row>
        <row r="50">
          <cell r="B50" t="str">
            <v>INFY</v>
          </cell>
          <cell r="C50" t="str">
            <v>INE009A01021</v>
          </cell>
        </row>
        <row r="51">
          <cell r="B51" t="str">
            <v>MAZDOCK</v>
          </cell>
          <cell r="C51" t="str">
            <v>INE249Z01020</v>
          </cell>
        </row>
        <row r="52">
          <cell r="B52" t="str">
            <v>MAZDOCK</v>
          </cell>
          <cell r="C52" t="str">
            <v>INE249Z01020</v>
          </cell>
        </row>
        <row r="53">
          <cell r="B53" t="str">
            <v>TMPV</v>
          </cell>
          <cell r="C53" t="str">
            <v>INE155A01022</v>
          </cell>
        </row>
        <row r="54">
          <cell r="B54" t="str">
            <v>BSE</v>
          </cell>
          <cell r="C54" t="str">
            <v>INE118H01025</v>
          </cell>
        </row>
        <row r="55">
          <cell r="B55" t="str">
            <v>KPITTECH</v>
          </cell>
          <cell r="C55" t="str">
            <v>INE04I401011</v>
          </cell>
        </row>
        <row r="56">
          <cell r="B56" t="str">
            <v>WIPRO</v>
          </cell>
          <cell r="C56" t="str">
            <v>INE075A01022</v>
          </cell>
        </row>
        <row r="57">
          <cell r="B57" t="str">
            <v>TMPV</v>
          </cell>
          <cell r="C57" t="str">
            <v>INE155A01022</v>
          </cell>
        </row>
        <row r="58">
          <cell r="B58" t="str">
            <v>VBL</v>
          </cell>
          <cell r="C58" t="str">
            <v>INE200M01039</v>
          </cell>
        </row>
        <row r="59">
          <cell r="B59" t="str">
            <v>KPITTECH</v>
          </cell>
          <cell r="C59" t="str">
            <v>INE04I401011</v>
          </cell>
        </row>
        <row r="60">
          <cell r="B60" t="str">
            <v>TMPV</v>
          </cell>
          <cell r="C60" t="str">
            <v>INE155A01022</v>
          </cell>
        </row>
        <row r="61">
          <cell r="B61" t="str">
            <v>VBL</v>
          </cell>
          <cell r="C61" t="str">
            <v>INE200M01039</v>
          </cell>
        </row>
        <row r="62">
          <cell r="B62" t="str">
            <v>TECHM</v>
          </cell>
          <cell r="C62" t="str">
            <v>INE669C01036</v>
          </cell>
        </row>
        <row r="63">
          <cell r="B63" t="str">
            <v>AXISBANK</v>
          </cell>
          <cell r="C63" t="str">
            <v>INE238A01034</v>
          </cell>
        </row>
        <row r="64">
          <cell r="B64" t="str">
            <v>TMPV</v>
          </cell>
          <cell r="C64" t="str">
            <v>INE155A01022</v>
          </cell>
        </row>
        <row r="65">
          <cell r="B65" t="str">
            <v>AXISBANK</v>
          </cell>
          <cell r="C65" t="str">
            <v>INE238A01034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32C6-0EAB-435E-BBBB-A570C137C3DF}">
  <dimension ref="A1:I4"/>
  <sheetViews>
    <sheetView tabSelected="1" workbookViewId="0">
      <selection activeCell="K4" sqref="K4"/>
    </sheetView>
  </sheetViews>
  <sheetFormatPr defaultRowHeight="14.4" x14ac:dyDescent="0.3"/>
  <cols>
    <col min="1" max="1" width="26" bestFit="1" customWidth="1"/>
    <col min="2" max="2" width="13.21875" bestFit="1" customWidth="1"/>
    <col min="3" max="3" width="8.44140625" bestFit="1" customWidth="1"/>
    <col min="4" max="4" width="16.5546875" bestFit="1" customWidth="1"/>
    <col min="5" max="5" width="9.33203125" bestFit="1" customWidth="1"/>
    <col min="6" max="6" width="11.88671875" bestFit="1" customWidth="1"/>
    <col min="7" max="7" width="12.33203125" bestFit="1" customWidth="1"/>
    <col min="8" max="8" width="14.44140625" bestFit="1" customWidth="1"/>
    <col min="9" max="9" width="8.88671875" style="3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14</v>
      </c>
    </row>
    <row r="2" spans="1:9" x14ac:dyDescent="0.3">
      <c r="A2" s="1" t="s">
        <v>8</v>
      </c>
      <c r="B2" s="1" t="s">
        <v>9</v>
      </c>
      <c r="C2" s="1">
        <v>2</v>
      </c>
      <c r="D2" s="1">
        <v>2920</v>
      </c>
      <c r="E2" s="1">
        <v>5840</v>
      </c>
      <c r="F2" s="1">
        <v>2827.6</v>
      </c>
      <c r="G2" s="1">
        <v>5655.2</v>
      </c>
      <c r="H2" s="1">
        <v>-184.8</v>
      </c>
      <c r="I2" s="3" t="str">
        <f>_xlfn.XLOOKUP(B2,'[1]G_Script Name'!$C:$C,'[1]G_Script Name'!$B:$B," ",0)</f>
        <v>BSE</v>
      </c>
    </row>
    <row r="3" spans="1:9" x14ac:dyDescent="0.3">
      <c r="A3" s="1" t="s">
        <v>10</v>
      </c>
      <c r="B3" s="1" t="s">
        <v>11</v>
      </c>
      <c r="C3" s="1">
        <v>1</v>
      </c>
      <c r="D3" s="1">
        <v>3633.6</v>
      </c>
      <c r="E3" s="1">
        <v>3633.6</v>
      </c>
      <c r="F3" s="1">
        <v>3106</v>
      </c>
      <c r="G3" s="1">
        <v>3106</v>
      </c>
      <c r="H3" s="1">
        <v>-527.6</v>
      </c>
      <c r="I3" s="3" t="str">
        <f>_xlfn.XLOOKUP(B3,'[1]G_Script Name'!$C:$C,'[1]G_Script Name'!$B:$B," ",0)</f>
        <v>TCS</v>
      </c>
    </row>
    <row r="4" spans="1:9" x14ac:dyDescent="0.3">
      <c r="A4" s="1" t="s">
        <v>12</v>
      </c>
      <c r="B4" s="1" t="s">
        <v>13</v>
      </c>
      <c r="C4" s="1">
        <v>1</v>
      </c>
      <c r="D4" s="1">
        <v>1545</v>
      </c>
      <c r="E4" s="1">
        <v>1545</v>
      </c>
      <c r="F4" s="1">
        <v>1439.2</v>
      </c>
      <c r="G4" s="1">
        <v>1439.2</v>
      </c>
      <c r="H4" s="1">
        <v>-105.8</v>
      </c>
      <c r="I4" s="3" t="str">
        <f>_xlfn.XLOOKUP(B4,'[1]G_Script Name'!$C:$C,'[1]G_Script Name'!$B:$B," ",0)</f>
        <v>TECHM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G-Holding_Share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2025-11-17T16:17:46Z</dcterms:created>
  <dcterms:modified xsi:type="dcterms:W3CDTF">2025-11-18T15:33:38Z</dcterms:modified>
</cp:coreProperties>
</file>