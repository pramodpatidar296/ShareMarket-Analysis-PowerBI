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Groww/G-Trade/"/>
    </mc:Choice>
  </mc:AlternateContent>
  <xr:revisionPtr revIDLastSave="17" documentId="8_{6F4A29F3-3CA9-4F56-A072-9E01BE0F7C39}" xr6:coauthVersionLast="47" xr6:coauthVersionMax="47" xr10:uidLastSave="{128A9E07-C72E-45E5-A5F2-3D8243338975}"/>
  <bookViews>
    <workbookView xWindow="28680" yWindow="-120" windowWidth="20730" windowHeight="11040" xr2:uid="{619CDDC1-BC79-4684-8BE1-22E2B655AFEA}"/>
  </bookViews>
  <sheets>
    <sheet name="G_Trad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</calcChain>
</file>

<file path=xl/sharedStrings.xml><?xml version="1.0" encoding="utf-8"?>
<sst xmlns="http://schemas.openxmlformats.org/spreadsheetml/2006/main" count="163" uniqueCount="73">
  <si>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</si>
  <si>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</si>
  <si>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</si>
  <si>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</si>
  <si>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</si>
  <si>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</si>
  <si>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</si>
  <si>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</si>
  <si>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</si>
  <si>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Realised P&amp;L</t>
  </si>
  <si>
    <t>KPIT TECHNOLOGIES LIMITED</t>
  </si>
  <si>
    <t>INE04I401011</t>
  </si>
  <si>
    <t>24-02-2025</t>
  </si>
  <si>
    <t>07-03-2025</t>
  </si>
  <si>
    <t>STATE BANK OF INDIA</t>
  </si>
  <si>
    <t>INE062A01020</t>
  </si>
  <si>
    <t>26-03-2025</t>
  </si>
  <si>
    <t>SWIGGY LIMITED</t>
  </si>
  <si>
    <t>INE00H001014</t>
  </si>
  <si>
    <t>06-05-2025</t>
  </si>
  <si>
    <t>INFOSYS LIMITED</t>
  </si>
  <si>
    <t>INE009A01021</t>
  </si>
  <si>
    <t>19-03-2025</t>
  </si>
  <si>
    <t>20-03-2025</t>
  </si>
  <si>
    <t>WIPRO LTD</t>
  </si>
  <si>
    <t>INE075A01022</t>
  </si>
  <si>
    <t>21-03-2025</t>
  </si>
  <si>
    <t>12-06-2025</t>
  </si>
  <si>
    <t>ETERNAL LIMITED</t>
  </si>
  <si>
    <t>INE758T01015</t>
  </si>
  <si>
    <t>08-04-2025</t>
  </si>
  <si>
    <t>INDIAN RENEWABLE ENERGY</t>
  </si>
  <si>
    <t>INE202E01016</t>
  </si>
  <si>
    <t>27-03-2025</t>
  </si>
  <si>
    <t>16-04-2025</t>
  </si>
  <si>
    <t>28-03-2025</t>
  </si>
  <si>
    <t>29-05-2025</t>
  </si>
  <si>
    <t>03-04-2025</t>
  </si>
  <si>
    <t>28-04-2025</t>
  </si>
  <si>
    <t>TATA MOTORS PASS VEH LTD</t>
  </si>
  <si>
    <t>INE155A01022</t>
  </si>
  <si>
    <t>17-04-2025</t>
  </si>
  <si>
    <t>24-04-2025</t>
  </si>
  <si>
    <t>25-04-2025</t>
  </si>
  <si>
    <t>07-05-2025</t>
  </si>
  <si>
    <t>29-04-2025</t>
  </si>
  <si>
    <t>30-04-2025</t>
  </si>
  <si>
    <t>30-05-2025</t>
  </si>
  <si>
    <t>08-05-2025</t>
  </si>
  <si>
    <t>14-05-2025</t>
  </si>
  <si>
    <t>09-05-2025</t>
  </si>
  <si>
    <t>15-05-2025</t>
  </si>
  <si>
    <t>MUTHOOT FINANCE LIMITED</t>
  </si>
  <si>
    <t>INE414G01012</t>
  </si>
  <si>
    <t>19-05-2025</t>
  </si>
  <si>
    <t>21-05-2025</t>
  </si>
  <si>
    <t>VARUN BEVERAGES LIMITED</t>
  </si>
  <si>
    <t>INE200M01039</t>
  </si>
  <si>
    <t>02-06-2025</t>
  </si>
  <si>
    <t>09-06-2025</t>
  </si>
  <si>
    <t>10-06-2025</t>
  </si>
  <si>
    <t>03-06-2025</t>
  </si>
  <si>
    <t>17-07-2025</t>
  </si>
  <si>
    <t>MAZAGON DOCK SHIPBUIL LTD</t>
  </si>
  <si>
    <t>INE249Z01020</t>
  </si>
  <si>
    <t>16-06-2025</t>
  </si>
  <si>
    <t>13-06-2025</t>
  </si>
  <si>
    <t>08-09-2025</t>
  </si>
  <si>
    <t>AXIS BANK LIMITED</t>
  </si>
  <si>
    <t>INE238A01034</t>
  </si>
  <si>
    <t>18-07-2025</t>
  </si>
  <si>
    <t>18-09-2025</t>
  </si>
  <si>
    <t>Script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</si>
</sst>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e2308440d5f3978/Desktop/New_Ranju_Angel%20One/Groww/G-Power_BI_connected_Data.xlsx" TargetMode="External"/><Relationship Id="rId1" Type="http://schemas.openxmlformats.org/officeDocument/2006/relationships/externalLinkPath" Target="/ee2308440d5f3978/Desktop/New_Ranju_Angel%20One/Groww/G-Power_BI_connecte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_Script Name"/>
    </sheetNames>
    <sheetDataSet>
      <sheetData sheetId="0">
        <row r="1">
          <cell r="B1" t="str">
            <v>Symbol</v>
          </cell>
          <cell r="C1" t="str">
            <v>ISIN</v>
          </cell>
        </row>
        <row r="2">
          <cell r="B2" t="str">
            <v>KPITTECH</v>
          </cell>
          <cell r="C2" t="str">
            <v>INE04I401011</v>
          </cell>
        </row>
        <row r="3">
          <cell r="B3" t="str">
            <v>SBIN</v>
          </cell>
          <cell r="C3" t="str">
            <v>INE062A01020</v>
          </cell>
        </row>
        <row r="4">
          <cell r="B4" t="str">
            <v>KPITTECH</v>
          </cell>
          <cell r="C4" t="str">
            <v>INE04I401011</v>
          </cell>
        </row>
        <row r="5">
          <cell r="B5" t="str">
            <v>SWIGGY</v>
          </cell>
          <cell r="C5" t="str">
            <v>INE00H001014</v>
          </cell>
        </row>
        <row r="6">
          <cell r="B6" t="str">
            <v>KPITTECH</v>
          </cell>
          <cell r="C6" t="str">
            <v>INE04I401011</v>
          </cell>
        </row>
        <row r="7">
          <cell r="B7" t="str">
            <v>INFY</v>
          </cell>
          <cell r="C7" t="str">
            <v>INE009A01021</v>
          </cell>
        </row>
        <row r="8">
          <cell r="B8" t="str">
            <v>SWIGGY</v>
          </cell>
          <cell r="C8" t="str">
            <v>INE00H001014</v>
          </cell>
        </row>
        <row r="9">
          <cell r="B9" t="str">
            <v>WIPRO</v>
          </cell>
          <cell r="C9" t="str">
            <v>INE075A01022</v>
          </cell>
        </row>
        <row r="10">
          <cell r="B10" t="str">
            <v>INFY</v>
          </cell>
          <cell r="C10" t="str">
            <v>INE009A01021</v>
          </cell>
        </row>
        <row r="11">
          <cell r="B11" t="str">
            <v>ETERNAL</v>
          </cell>
          <cell r="C11" t="str">
            <v>INE758T01015</v>
          </cell>
        </row>
        <row r="12">
          <cell r="B12" t="str">
            <v>SBIN</v>
          </cell>
          <cell r="C12" t="str">
            <v>INE062A01020</v>
          </cell>
        </row>
        <row r="13">
          <cell r="B13" t="str">
            <v>IREDA</v>
          </cell>
          <cell r="C13" t="str">
            <v>INE202E01016</v>
          </cell>
        </row>
        <row r="14">
          <cell r="B14" t="str">
            <v>TCS</v>
          </cell>
          <cell r="C14" t="str">
            <v>INE467B01029</v>
          </cell>
        </row>
        <row r="15">
          <cell r="B15" t="str">
            <v>WIPRO</v>
          </cell>
          <cell r="C15" t="str">
            <v>INE075A01022</v>
          </cell>
        </row>
        <row r="16">
          <cell r="B16" t="str">
            <v>INFY</v>
          </cell>
          <cell r="C16" t="str">
            <v>INE009A01021</v>
          </cell>
        </row>
        <row r="17">
          <cell r="B17" t="str">
            <v>WIPRO</v>
          </cell>
          <cell r="C17" t="str">
            <v>INE075A01022</v>
          </cell>
        </row>
        <row r="18">
          <cell r="B18" t="str">
            <v>KPITTECH</v>
          </cell>
          <cell r="C18" t="str">
            <v>INE04I401011</v>
          </cell>
        </row>
        <row r="19">
          <cell r="B19" t="str">
            <v>ETERNAL</v>
          </cell>
          <cell r="C19" t="str">
            <v>INE758T01015</v>
          </cell>
        </row>
        <row r="20">
          <cell r="B20" t="str">
            <v>IREDA</v>
          </cell>
          <cell r="C20" t="str">
            <v>INE202E01016</v>
          </cell>
        </row>
        <row r="21">
          <cell r="B21" t="str">
            <v>TMPV</v>
          </cell>
          <cell r="C21" t="str">
            <v>INE155A01022</v>
          </cell>
        </row>
        <row r="22">
          <cell r="B22" t="str">
            <v>WIPRO</v>
          </cell>
          <cell r="C22" t="str">
            <v>INE075A01022</v>
          </cell>
        </row>
        <row r="23">
          <cell r="B23" t="str">
            <v>TMPV</v>
          </cell>
          <cell r="C23" t="str">
            <v>INE155A01022</v>
          </cell>
        </row>
        <row r="24">
          <cell r="B24" t="str">
            <v>TMPV</v>
          </cell>
          <cell r="C24" t="str">
            <v>INE155A01022</v>
          </cell>
        </row>
        <row r="25">
          <cell r="B25" t="str">
            <v>KPITTECH</v>
          </cell>
          <cell r="C25" t="str">
            <v>INE04I401011</v>
          </cell>
        </row>
        <row r="26">
          <cell r="B26" t="str">
            <v>SWIGGY</v>
          </cell>
          <cell r="C26" t="str">
            <v>INE00H001014</v>
          </cell>
        </row>
        <row r="27">
          <cell r="B27" t="str">
            <v>TMPV</v>
          </cell>
          <cell r="C27" t="str">
            <v>INE155A01022</v>
          </cell>
        </row>
        <row r="28">
          <cell r="B28" t="str">
            <v>SWIGGY</v>
          </cell>
          <cell r="C28" t="str">
            <v>INE00H001014</v>
          </cell>
        </row>
        <row r="29">
          <cell r="B29" t="str">
            <v>TMPV</v>
          </cell>
          <cell r="C29" t="str">
            <v>INE155A01022</v>
          </cell>
        </row>
        <row r="30">
          <cell r="B30" t="str">
            <v>SWIGGY</v>
          </cell>
          <cell r="C30" t="str">
            <v>INE00H001014</v>
          </cell>
        </row>
        <row r="31">
          <cell r="B31" t="str">
            <v>KPITTECH</v>
          </cell>
          <cell r="C31" t="str">
            <v>INE04I401011</v>
          </cell>
        </row>
        <row r="32">
          <cell r="B32" t="str">
            <v>IREDA</v>
          </cell>
          <cell r="C32" t="str">
            <v>INE202E01016</v>
          </cell>
        </row>
        <row r="33">
          <cell r="B33" t="str">
            <v>KPITTECH</v>
          </cell>
          <cell r="C33" t="str">
            <v>INE04I401011</v>
          </cell>
        </row>
        <row r="34">
          <cell r="B34" t="str">
            <v>WIPRO</v>
          </cell>
          <cell r="C34" t="str">
            <v>INE075A01022</v>
          </cell>
        </row>
        <row r="35">
          <cell r="B35" t="str">
            <v>IREDA</v>
          </cell>
          <cell r="C35" t="str">
            <v>INE202E01016</v>
          </cell>
        </row>
        <row r="36">
          <cell r="B36" t="str">
            <v>MUTHOOTFIN</v>
          </cell>
          <cell r="C36" t="str">
            <v>INE414G01012</v>
          </cell>
        </row>
        <row r="37">
          <cell r="B37" t="str">
            <v>SWIGGY</v>
          </cell>
          <cell r="C37" t="str">
            <v>INE00H001014</v>
          </cell>
        </row>
        <row r="38">
          <cell r="B38" t="str">
            <v>INFY</v>
          </cell>
          <cell r="C38" t="str">
            <v>INE009A01021</v>
          </cell>
        </row>
        <row r="39">
          <cell r="B39" t="str">
            <v>SWIGGY</v>
          </cell>
          <cell r="C39" t="str">
            <v>INE00H001014</v>
          </cell>
        </row>
        <row r="40">
          <cell r="B40" t="str">
            <v>INFY</v>
          </cell>
          <cell r="C40" t="str">
            <v>INE009A01021</v>
          </cell>
        </row>
        <row r="41">
          <cell r="B41" t="str">
            <v>VBL</v>
          </cell>
          <cell r="C41" t="str">
            <v>INE200M01039</v>
          </cell>
        </row>
        <row r="42">
          <cell r="B42" t="str">
            <v>SWIGGY</v>
          </cell>
          <cell r="C42" t="str">
            <v>INE00H001014</v>
          </cell>
        </row>
        <row r="43">
          <cell r="B43" t="str">
            <v>MUTHOOTFIN</v>
          </cell>
          <cell r="C43" t="str">
            <v>INE414G01012</v>
          </cell>
        </row>
        <row r="44">
          <cell r="B44" t="str">
            <v>VBL</v>
          </cell>
          <cell r="C44" t="str">
            <v>INE200M01039</v>
          </cell>
        </row>
        <row r="45">
          <cell r="B45" t="str">
            <v>INFY</v>
          </cell>
          <cell r="C45" t="str">
            <v>INE009A01021</v>
          </cell>
        </row>
        <row r="46">
          <cell r="B46" t="str">
            <v>VBL</v>
          </cell>
          <cell r="C46" t="str">
            <v>INE200M01039</v>
          </cell>
        </row>
        <row r="47">
          <cell r="B47" t="str">
            <v>TMPV</v>
          </cell>
          <cell r="C47" t="str">
            <v>INE155A01022</v>
          </cell>
        </row>
        <row r="48">
          <cell r="B48" t="str">
            <v>VBL</v>
          </cell>
          <cell r="C48" t="str">
            <v>INE200M01039</v>
          </cell>
        </row>
        <row r="49">
          <cell r="B49" t="str">
            <v>VBL</v>
          </cell>
          <cell r="C49" t="str">
            <v>INE200M01039</v>
          </cell>
        </row>
        <row r="50">
          <cell r="B50" t="str">
            <v>INFY</v>
          </cell>
          <cell r="C50" t="str">
            <v>INE009A01021</v>
          </cell>
        </row>
        <row r="51">
          <cell r="B51" t="str">
            <v>MAZDOCK</v>
          </cell>
          <cell r="C51" t="str">
            <v>INE249Z01020</v>
          </cell>
        </row>
        <row r="52">
          <cell r="B52" t="str">
            <v>MAZDOCK</v>
          </cell>
          <cell r="C52" t="str">
            <v>INE249Z01020</v>
          </cell>
        </row>
        <row r="53">
          <cell r="B53" t="str">
            <v>TMPV</v>
          </cell>
          <cell r="C53" t="str">
            <v>INE155A01022</v>
          </cell>
        </row>
        <row r="54">
          <cell r="B54" t="str">
            <v>BSE</v>
          </cell>
          <cell r="C54" t="str">
            <v>INE118H01025</v>
          </cell>
        </row>
        <row r="55">
          <cell r="B55" t="str">
            <v>KPITTECH</v>
          </cell>
          <cell r="C55" t="str">
            <v>INE04I401011</v>
          </cell>
        </row>
        <row r="56">
          <cell r="B56" t="str">
            <v>WIPRO</v>
          </cell>
          <cell r="C56" t="str">
            <v>INE075A01022</v>
          </cell>
        </row>
        <row r="57">
          <cell r="B57" t="str">
            <v>TMPV</v>
          </cell>
          <cell r="C57" t="str">
            <v>INE155A01022</v>
          </cell>
        </row>
        <row r="58">
          <cell r="B58" t="str">
            <v>VBL</v>
          </cell>
          <cell r="C58" t="str">
            <v>INE200M01039</v>
          </cell>
        </row>
        <row r="59">
          <cell r="B59" t="str">
            <v>KPITTECH</v>
          </cell>
          <cell r="C59" t="str">
            <v>INE04I401011</v>
          </cell>
        </row>
        <row r="60">
          <cell r="B60" t="str">
            <v>TMPV</v>
          </cell>
          <cell r="C60" t="str">
            <v>INE155A01022</v>
          </cell>
        </row>
        <row r="61">
          <cell r="B61" t="str">
            <v>VBL</v>
          </cell>
          <cell r="C61" t="str">
            <v>INE200M01039</v>
          </cell>
        </row>
        <row r="62">
          <cell r="B62" t="str">
            <v>TECHM</v>
          </cell>
          <cell r="C62" t="str">
            <v>INE669C01036</v>
          </cell>
        </row>
        <row r="63">
          <cell r="B63" t="str">
            <v>AXISBANK</v>
          </cell>
          <cell r="C63" t="str">
            <v>INE238A01034</v>
          </cell>
        </row>
        <row r="64">
          <cell r="B64" t="str">
            <v>TMPV</v>
          </cell>
          <cell r="C64" t="str">
            <v>INE155A01022</v>
          </cell>
        </row>
        <row r="65">
          <cell r="B65" t="str">
            <v>AXISBANK</v>
          </cell>
          <cell r="C65" t="str">
            <v>INE238A01034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23A1-6252-4C67-8E5C-E2FB8AE8B7A1}">
  <dimension ref="A1:K39"/>
  <sheetViews>
    <sheetView tabSelected="1" workbookViewId="0">
      <selection activeCell="L2" sqref="L2"/>
    </sheetView>
  </sheetViews>
  <sheetFormatPr defaultRowHeight="14.4" x14ac:dyDescent="0.3"/>
  <cols>
    <col min="1" max="1" width="27.44140625" bestFit="1" customWidth="1"/>
    <col min="2" max="2" width="13.6640625" bestFit="1" customWidth="1"/>
    <col min="3" max="3" width="8.44140625" bestFit="1" customWidth="1"/>
    <col min="4" max="4" width="10.33203125" bestFit="1" customWidth="1"/>
    <col min="6" max="6" width="9.33203125" bestFit="1" customWidth="1"/>
    <col min="7" max="7" width="10.33203125" bestFit="1" customWidth="1"/>
    <col min="9" max="9" width="9.33203125" bestFit="1" customWidth="1"/>
    <col min="10" max="10" width="12.21875" bestFit="1" customWidth="1"/>
    <col min="11" max="11" width="12.88671875" style="3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72</v>
      </c>
    </row>
    <row r="2" spans="1:11" x14ac:dyDescent="0.3">
      <c r="A2" t="s">
        <v>10</v>
      </c>
      <c r="B2" t="s">
        <v>11</v>
      </c>
      <c r="C2">
        <v>3</v>
      </c>
      <c r="D2" t="s">
        <v>12</v>
      </c>
      <c r="E2">
        <v>1285</v>
      </c>
      <c r="F2">
        <v>3855</v>
      </c>
      <c r="G2" t="s">
        <v>13</v>
      </c>
      <c r="H2">
        <v>1320.08</v>
      </c>
      <c r="I2">
        <v>3960.24</v>
      </c>
      <c r="J2">
        <v>105.24</v>
      </c>
      <c r="K2" s="3" t="str">
        <f>_xlfn.XLOOKUP(B2,'[1]G_Script Name'!$C:$C,'[1]G_Script Name'!$B:$B," ",0)</f>
        <v>KPITTECH</v>
      </c>
    </row>
    <row r="3" spans="1:11" x14ac:dyDescent="0.3">
      <c r="A3" t="s">
        <v>10</v>
      </c>
      <c r="B3" t="s">
        <v>11</v>
      </c>
      <c r="C3">
        <v>5</v>
      </c>
      <c r="D3" t="s">
        <v>12</v>
      </c>
      <c r="E3">
        <v>1275</v>
      </c>
      <c r="F3">
        <v>6375</v>
      </c>
      <c r="G3" t="s">
        <v>13</v>
      </c>
      <c r="H3">
        <v>1320.08</v>
      </c>
      <c r="I3">
        <v>6600.4</v>
      </c>
      <c r="J3">
        <v>225.4</v>
      </c>
      <c r="K3" s="3" t="str">
        <f>_xlfn.XLOOKUP(B3,'[1]G_Script Name'!$C:$C,'[1]G_Script Name'!$B:$B," ",0)</f>
        <v>KPITTECH</v>
      </c>
    </row>
    <row r="4" spans="1:11" x14ac:dyDescent="0.3">
      <c r="A4" t="s">
        <v>14</v>
      </c>
      <c r="B4" t="s">
        <v>15</v>
      </c>
      <c r="C4">
        <v>2</v>
      </c>
      <c r="D4" t="s">
        <v>12</v>
      </c>
      <c r="E4">
        <v>714</v>
      </c>
      <c r="F4">
        <v>1428</v>
      </c>
      <c r="G4" t="s">
        <v>16</v>
      </c>
      <c r="H4">
        <v>774.4</v>
      </c>
      <c r="I4">
        <v>1548.8</v>
      </c>
      <c r="J4">
        <v>120.8</v>
      </c>
      <c r="K4" s="3" t="str">
        <f>_xlfn.XLOOKUP(B4,'[1]G_Script Name'!$C:$C,'[1]G_Script Name'!$B:$B," ",0)</f>
        <v>SBIN</v>
      </c>
    </row>
    <row r="5" spans="1:11" x14ac:dyDescent="0.3">
      <c r="A5" t="s">
        <v>17</v>
      </c>
      <c r="B5" t="s">
        <v>18</v>
      </c>
      <c r="C5">
        <v>5</v>
      </c>
      <c r="D5" t="s">
        <v>12</v>
      </c>
      <c r="E5">
        <v>355</v>
      </c>
      <c r="F5">
        <v>1775</v>
      </c>
      <c r="G5" t="s">
        <v>19</v>
      </c>
      <c r="H5">
        <v>337.5</v>
      </c>
      <c r="I5">
        <v>1687.5</v>
      </c>
      <c r="J5">
        <v>-87.5</v>
      </c>
      <c r="K5" s="3" t="str">
        <f>_xlfn.XLOOKUP(B5,'[1]G_Script Name'!$C:$C,'[1]G_Script Name'!$B:$B," ",0)</f>
        <v>SWIGGY</v>
      </c>
    </row>
    <row r="6" spans="1:11" x14ac:dyDescent="0.3">
      <c r="A6" t="s">
        <v>20</v>
      </c>
      <c r="B6" t="s">
        <v>21</v>
      </c>
      <c r="C6">
        <v>4</v>
      </c>
      <c r="D6" t="s">
        <v>22</v>
      </c>
      <c r="E6">
        <v>1579</v>
      </c>
      <c r="F6">
        <v>6316</v>
      </c>
      <c r="G6" t="s">
        <v>16</v>
      </c>
      <c r="H6">
        <v>1636.63</v>
      </c>
      <c r="I6">
        <v>6546.52</v>
      </c>
      <c r="J6">
        <v>230.52</v>
      </c>
      <c r="K6" s="3" t="str">
        <f>_xlfn.XLOOKUP(B6,'[1]G_Script Name'!$C:$C,'[1]G_Script Name'!$B:$B," ",0)</f>
        <v>INFY</v>
      </c>
    </row>
    <row r="7" spans="1:11" x14ac:dyDescent="0.3">
      <c r="A7" t="s">
        <v>17</v>
      </c>
      <c r="B7" t="s">
        <v>18</v>
      </c>
      <c r="C7">
        <v>1</v>
      </c>
      <c r="D7" t="s">
        <v>23</v>
      </c>
      <c r="E7">
        <v>351</v>
      </c>
      <c r="F7">
        <v>351</v>
      </c>
      <c r="G7" t="s">
        <v>19</v>
      </c>
      <c r="H7">
        <v>337.5</v>
      </c>
      <c r="I7">
        <v>337.5</v>
      </c>
      <c r="J7">
        <v>-13.5</v>
      </c>
      <c r="K7" s="3" t="str">
        <f>_xlfn.XLOOKUP(B7,'[1]G_Script Name'!$C:$C,'[1]G_Script Name'!$B:$B," ",0)</f>
        <v>SWIGGY</v>
      </c>
    </row>
    <row r="8" spans="1:11" x14ac:dyDescent="0.3">
      <c r="A8" t="s">
        <v>24</v>
      </c>
      <c r="B8" t="s">
        <v>25</v>
      </c>
      <c r="C8">
        <v>1</v>
      </c>
      <c r="D8" t="s">
        <v>26</v>
      </c>
      <c r="E8">
        <v>264.75</v>
      </c>
      <c r="F8">
        <v>264.75</v>
      </c>
      <c r="G8" t="s">
        <v>27</v>
      </c>
      <c r="H8">
        <v>262.5</v>
      </c>
      <c r="I8">
        <v>262.5</v>
      </c>
      <c r="J8">
        <v>-2.25</v>
      </c>
      <c r="K8" s="3" t="str">
        <f>_xlfn.XLOOKUP(B8,'[1]G_Script Name'!$C:$C,'[1]G_Script Name'!$B:$B," ",0)</f>
        <v>WIPRO</v>
      </c>
    </row>
    <row r="9" spans="1:11" x14ac:dyDescent="0.3">
      <c r="A9" t="s">
        <v>28</v>
      </c>
      <c r="B9" t="s">
        <v>29</v>
      </c>
      <c r="C9">
        <v>10</v>
      </c>
      <c r="D9" t="s">
        <v>16</v>
      </c>
      <c r="E9">
        <v>204</v>
      </c>
      <c r="F9">
        <v>2040</v>
      </c>
      <c r="G9" t="s">
        <v>30</v>
      </c>
      <c r="H9">
        <v>213.41</v>
      </c>
      <c r="I9">
        <v>2134.1</v>
      </c>
      <c r="J9">
        <v>94.1</v>
      </c>
      <c r="K9" s="3" t="str">
        <f>_xlfn.XLOOKUP(B9,'[1]G_Script Name'!$C:$C,'[1]G_Script Name'!$B:$B," ",0)</f>
        <v>ETERNAL</v>
      </c>
    </row>
    <row r="10" spans="1:11" x14ac:dyDescent="0.3">
      <c r="A10" t="s">
        <v>31</v>
      </c>
      <c r="B10" t="s">
        <v>32</v>
      </c>
      <c r="C10">
        <v>10</v>
      </c>
      <c r="D10" t="s">
        <v>33</v>
      </c>
      <c r="E10">
        <v>163.6</v>
      </c>
      <c r="F10">
        <v>1636</v>
      </c>
      <c r="G10" t="s">
        <v>34</v>
      </c>
      <c r="H10">
        <v>177.62</v>
      </c>
      <c r="I10">
        <v>1776.2</v>
      </c>
      <c r="J10">
        <v>140.19999999999999</v>
      </c>
      <c r="K10" s="3" t="str">
        <f>_xlfn.XLOOKUP(B10,'[1]G_Script Name'!$C:$C,'[1]G_Script Name'!$B:$B," ",0)</f>
        <v>IREDA</v>
      </c>
    </row>
    <row r="11" spans="1:11" x14ac:dyDescent="0.3">
      <c r="A11" t="s">
        <v>20</v>
      </c>
      <c r="B11" t="s">
        <v>21</v>
      </c>
      <c r="C11">
        <v>3</v>
      </c>
      <c r="D11" t="s">
        <v>35</v>
      </c>
      <c r="E11">
        <v>1583</v>
      </c>
      <c r="F11">
        <v>4749</v>
      </c>
      <c r="G11" t="s">
        <v>36</v>
      </c>
      <c r="H11">
        <v>1604</v>
      </c>
      <c r="I11">
        <v>4812</v>
      </c>
      <c r="J11">
        <v>63</v>
      </c>
      <c r="K11" s="3" t="str">
        <f>_xlfn.XLOOKUP(B11,'[1]G_Script Name'!$C:$C,'[1]G_Script Name'!$B:$B," ",0)</f>
        <v>INFY</v>
      </c>
    </row>
    <row r="12" spans="1:11" x14ac:dyDescent="0.3">
      <c r="A12" t="s">
        <v>24</v>
      </c>
      <c r="B12" t="s">
        <v>25</v>
      </c>
      <c r="C12">
        <v>2</v>
      </c>
      <c r="D12" t="s">
        <v>35</v>
      </c>
      <c r="E12">
        <v>266.5</v>
      </c>
      <c r="F12">
        <v>533</v>
      </c>
      <c r="G12" t="s">
        <v>27</v>
      </c>
      <c r="H12">
        <v>262.5</v>
      </c>
      <c r="I12">
        <v>525</v>
      </c>
      <c r="J12">
        <v>-8</v>
      </c>
      <c r="K12" s="3" t="str">
        <f>_xlfn.XLOOKUP(B12,'[1]G_Script Name'!$C:$C,'[1]G_Script Name'!$B:$B," ",0)</f>
        <v>WIPRO</v>
      </c>
    </row>
    <row r="13" spans="1:11" x14ac:dyDescent="0.3">
      <c r="A13" t="s">
        <v>24</v>
      </c>
      <c r="B13" t="s">
        <v>25</v>
      </c>
      <c r="C13">
        <v>8</v>
      </c>
      <c r="D13" t="s">
        <v>35</v>
      </c>
      <c r="E13">
        <v>267</v>
      </c>
      <c r="F13">
        <v>2136</v>
      </c>
      <c r="G13" t="s">
        <v>27</v>
      </c>
      <c r="H13">
        <v>262.5</v>
      </c>
      <c r="I13">
        <v>2100</v>
      </c>
      <c r="J13">
        <v>-36</v>
      </c>
      <c r="K13" s="3" t="str">
        <f>_xlfn.XLOOKUP(B13,'[1]G_Script Name'!$C:$C,'[1]G_Script Name'!$B:$B," ",0)</f>
        <v>WIPRO</v>
      </c>
    </row>
    <row r="14" spans="1:11" x14ac:dyDescent="0.3">
      <c r="A14" t="s">
        <v>10</v>
      </c>
      <c r="B14" t="s">
        <v>11</v>
      </c>
      <c r="C14">
        <v>5</v>
      </c>
      <c r="D14" t="s">
        <v>37</v>
      </c>
      <c r="E14">
        <v>1215</v>
      </c>
      <c r="F14">
        <v>6075</v>
      </c>
      <c r="G14" t="s">
        <v>38</v>
      </c>
      <c r="H14">
        <v>1236</v>
      </c>
      <c r="I14">
        <v>6180</v>
      </c>
      <c r="J14">
        <v>105</v>
      </c>
      <c r="K14" s="3" t="str">
        <f>_xlfn.XLOOKUP(B14,'[1]G_Script Name'!$C:$C,'[1]G_Script Name'!$B:$B," ",0)</f>
        <v>KPITTECH</v>
      </c>
    </row>
    <row r="15" spans="1:11" x14ac:dyDescent="0.3">
      <c r="A15" t="s">
        <v>39</v>
      </c>
      <c r="B15" t="s">
        <v>40</v>
      </c>
      <c r="C15">
        <v>2</v>
      </c>
      <c r="D15" t="s">
        <v>41</v>
      </c>
      <c r="E15">
        <v>609.4</v>
      </c>
      <c r="F15">
        <v>1218.8</v>
      </c>
      <c r="G15" t="s">
        <v>42</v>
      </c>
      <c r="H15">
        <v>664.45</v>
      </c>
      <c r="I15">
        <v>1328.9</v>
      </c>
      <c r="J15">
        <v>110.1</v>
      </c>
      <c r="K15" s="3" t="str">
        <f>_xlfn.XLOOKUP(B15,'[1]G_Script Name'!$C:$C,'[1]G_Script Name'!$B:$B," ",0)</f>
        <v>TMPV</v>
      </c>
    </row>
    <row r="16" spans="1:11" x14ac:dyDescent="0.3">
      <c r="A16" t="s">
        <v>24</v>
      </c>
      <c r="B16" t="s">
        <v>25</v>
      </c>
      <c r="C16">
        <v>2</v>
      </c>
      <c r="D16" t="s">
        <v>41</v>
      </c>
      <c r="E16">
        <v>236.5</v>
      </c>
      <c r="F16">
        <v>473</v>
      </c>
      <c r="G16" t="s">
        <v>27</v>
      </c>
      <c r="H16">
        <v>262.5</v>
      </c>
      <c r="I16">
        <v>525</v>
      </c>
      <c r="J16">
        <v>52</v>
      </c>
      <c r="K16" s="3" t="str">
        <f>_xlfn.XLOOKUP(B16,'[1]G_Script Name'!$C:$C,'[1]G_Script Name'!$B:$B," ",0)</f>
        <v>WIPRO</v>
      </c>
    </row>
    <row r="17" spans="1:11" x14ac:dyDescent="0.3">
      <c r="A17" t="s">
        <v>39</v>
      </c>
      <c r="B17" t="s">
        <v>40</v>
      </c>
      <c r="C17">
        <v>2</v>
      </c>
      <c r="D17" t="s">
        <v>43</v>
      </c>
      <c r="E17">
        <v>658.55</v>
      </c>
      <c r="F17">
        <v>1317.1</v>
      </c>
      <c r="G17" t="s">
        <v>44</v>
      </c>
      <c r="H17">
        <v>675</v>
      </c>
      <c r="I17">
        <v>1350</v>
      </c>
      <c r="J17">
        <v>32.9</v>
      </c>
      <c r="K17" s="3" t="str">
        <f>_xlfn.XLOOKUP(B17,'[1]G_Script Name'!$C:$C,'[1]G_Script Name'!$B:$B," ",0)</f>
        <v>TMPV</v>
      </c>
    </row>
    <row r="18" spans="1:11" x14ac:dyDescent="0.3">
      <c r="A18" t="s">
        <v>17</v>
      </c>
      <c r="B18" t="s">
        <v>18</v>
      </c>
      <c r="C18">
        <v>14</v>
      </c>
      <c r="D18" t="s">
        <v>45</v>
      </c>
      <c r="E18">
        <v>321.5</v>
      </c>
      <c r="F18">
        <v>4501</v>
      </c>
      <c r="G18" t="s">
        <v>19</v>
      </c>
      <c r="H18">
        <v>337.5</v>
      </c>
      <c r="I18">
        <v>4725</v>
      </c>
      <c r="J18">
        <v>224</v>
      </c>
      <c r="K18" s="3" t="str">
        <f>_xlfn.XLOOKUP(B18,'[1]G_Script Name'!$C:$C,'[1]G_Script Name'!$B:$B," ",0)</f>
        <v>SWIGGY</v>
      </c>
    </row>
    <row r="19" spans="1:11" x14ac:dyDescent="0.3">
      <c r="A19" t="s">
        <v>39</v>
      </c>
      <c r="B19" t="s">
        <v>40</v>
      </c>
      <c r="C19">
        <v>2</v>
      </c>
      <c r="D19" t="s">
        <v>46</v>
      </c>
      <c r="E19">
        <v>644</v>
      </c>
      <c r="F19">
        <v>1288</v>
      </c>
      <c r="G19" t="s">
        <v>44</v>
      </c>
      <c r="H19">
        <v>675</v>
      </c>
      <c r="I19">
        <v>1350</v>
      </c>
      <c r="J19">
        <v>62</v>
      </c>
      <c r="K19" s="3" t="str">
        <f>_xlfn.XLOOKUP(B19,'[1]G_Script Name'!$C:$C,'[1]G_Script Name'!$B:$B," ",0)</f>
        <v>TMPV</v>
      </c>
    </row>
    <row r="20" spans="1:11" x14ac:dyDescent="0.3">
      <c r="A20" t="s">
        <v>17</v>
      </c>
      <c r="B20" t="s">
        <v>18</v>
      </c>
      <c r="C20">
        <v>10</v>
      </c>
      <c r="D20" t="s">
        <v>44</v>
      </c>
      <c r="E20">
        <v>330</v>
      </c>
      <c r="F20">
        <v>3300</v>
      </c>
      <c r="G20" t="s">
        <v>47</v>
      </c>
      <c r="H20">
        <v>336.5</v>
      </c>
      <c r="I20">
        <v>3365</v>
      </c>
      <c r="J20">
        <v>65</v>
      </c>
      <c r="K20" s="3" t="str">
        <f>_xlfn.XLOOKUP(B20,'[1]G_Script Name'!$C:$C,'[1]G_Script Name'!$B:$B," ",0)</f>
        <v>SWIGGY</v>
      </c>
    </row>
    <row r="21" spans="1:11" x14ac:dyDescent="0.3">
      <c r="A21" t="s">
        <v>10</v>
      </c>
      <c r="B21" t="s">
        <v>11</v>
      </c>
      <c r="C21">
        <v>4</v>
      </c>
      <c r="D21" t="s">
        <v>48</v>
      </c>
      <c r="E21">
        <v>1304</v>
      </c>
      <c r="F21">
        <v>5216</v>
      </c>
      <c r="G21" t="s">
        <v>49</v>
      </c>
      <c r="H21">
        <v>1357.4</v>
      </c>
      <c r="I21">
        <v>5429.6</v>
      </c>
      <c r="J21">
        <v>213.6</v>
      </c>
      <c r="K21" s="3" t="str">
        <f>_xlfn.XLOOKUP(B21,'[1]G_Script Name'!$C:$C,'[1]G_Script Name'!$B:$B," ",0)</f>
        <v>KPITTECH</v>
      </c>
    </row>
    <row r="22" spans="1:11" x14ac:dyDescent="0.3">
      <c r="A22" t="s">
        <v>31</v>
      </c>
      <c r="B22" t="s">
        <v>32</v>
      </c>
      <c r="C22">
        <v>7</v>
      </c>
      <c r="D22" t="s">
        <v>50</v>
      </c>
      <c r="E22">
        <v>154</v>
      </c>
      <c r="F22">
        <v>1078</v>
      </c>
      <c r="G22" t="s">
        <v>51</v>
      </c>
      <c r="H22">
        <v>165.6</v>
      </c>
      <c r="I22">
        <v>1159.2</v>
      </c>
      <c r="J22">
        <v>81.2</v>
      </c>
      <c r="K22" s="3" t="str">
        <f>_xlfn.XLOOKUP(B22,'[1]G_Script Name'!$C:$C,'[1]G_Script Name'!$B:$B," ",0)</f>
        <v>IREDA</v>
      </c>
    </row>
    <row r="23" spans="1:11" x14ac:dyDescent="0.3">
      <c r="A23" t="s">
        <v>24</v>
      </c>
      <c r="B23" t="s">
        <v>25</v>
      </c>
      <c r="C23">
        <v>7</v>
      </c>
      <c r="D23" t="s">
        <v>49</v>
      </c>
      <c r="E23">
        <v>252.5</v>
      </c>
      <c r="F23">
        <v>1767.5</v>
      </c>
      <c r="G23" t="s">
        <v>27</v>
      </c>
      <c r="H23">
        <v>262.5</v>
      </c>
      <c r="I23">
        <v>1837.5</v>
      </c>
      <c r="J23">
        <v>70</v>
      </c>
      <c r="K23" s="3" t="str">
        <f>_xlfn.XLOOKUP(B23,'[1]G_Script Name'!$C:$C,'[1]G_Script Name'!$B:$B," ",0)</f>
        <v>WIPRO</v>
      </c>
    </row>
    <row r="24" spans="1:11" x14ac:dyDescent="0.3">
      <c r="A24" t="s">
        <v>52</v>
      </c>
      <c r="B24" t="s">
        <v>53</v>
      </c>
      <c r="C24">
        <v>2</v>
      </c>
      <c r="D24" t="s">
        <v>51</v>
      </c>
      <c r="E24">
        <v>2099</v>
      </c>
      <c r="F24">
        <v>4198</v>
      </c>
      <c r="G24" t="s">
        <v>47</v>
      </c>
      <c r="H24">
        <v>2153.3000000000002</v>
      </c>
      <c r="I24">
        <v>4306.6000000000004</v>
      </c>
      <c r="J24">
        <v>108.6</v>
      </c>
      <c r="K24" s="3" t="str">
        <f>_xlfn.XLOOKUP(B24,'[1]G_Script Name'!$C:$C,'[1]G_Script Name'!$B:$B," ",0)</f>
        <v>MUTHOOTFIN</v>
      </c>
    </row>
    <row r="25" spans="1:11" x14ac:dyDescent="0.3">
      <c r="A25" t="s">
        <v>17</v>
      </c>
      <c r="B25" t="s">
        <v>18</v>
      </c>
      <c r="C25">
        <v>2</v>
      </c>
      <c r="D25" t="s">
        <v>51</v>
      </c>
      <c r="E25">
        <v>316.7</v>
      </c>
      <c r="F25">
        <v>633.4</v>
      </c>
      <c r="G25" t="s">
        <v>47</v>
      </c>
      <c r="H25">
        <v>336.5</v>
      </c>
      <c r="I25">
        <v>673</v>
      </c>
      <c r="J25">
        <v>39.6</v>
      </c>
      <c r="K25" s="3" t="str">
        <f>_xlfn.XLOOKUP(B25,'[1]G_Script Name'!$C:$C,'[1]G_Script Name'!$B:$B," ",0)</f>
        <v>SWIGGY</v>
      </c>
    </row>
    <row r="26" spans="1:11" x14ac:dyDescent="0.3">
      <c r="A26" t="s">
        <v>20</v>
      </c>
      <c r="B26" t="s">
        <v>21</v>
      </c>
      <c r="C26">
        <v>3</v>
      </c>
      <c r="D26" t="s">
        <v>54</v>
      </c>
      <c r="E26">
        <v>1563.2</v>
      </c>
      <c r="F26">
        <v>4689.6000000000004</v>
      </c>
      <c r="G26" t="s">
        <v>36</v>
      </c>
      <c r="H26">
        <v>1604</v>
      </c>
      <c r="I26">
        <v>4812</v>
      </c>
      <c r="J26">
        <v>122.4</v>
      </c>
      <c r="K26" s="3" t="str">
        <f>_xlfn.XLOOKUP(B26,'[1]G_Script Name'!$C:$C,'[1]G_Script Name'!$B:$B," ",0)</f>
        <v>INFY</v>
      </c>
    </row>
    <row r="27" spans="1:11" x14ac:dyDescent="0.3">
      <c r="A27" t="s">
        <v>17</v>
      </c>
      <c r="B27" t="s">
        <v>18</v>
      </c>
      <c r="C27">
        <v>3</v>
      </c>
      <c r="D27" t="s">
        <v>55</v>
      </c>
      <c r="E27">
        <v>309</v>
      </c>
      <c r="F27">
        <v>927</v>
      </c>
      <c r="G27" t="s">
        <v>47</v>
      </c>
      <c r="H27">
        <v>336.5</v>
      </c>
      <c r="I27">
        <v>1009.5</v>
      </c>
      <c r="J27">
        <v>82.5</v>
      </c>
      <c r="K27" s="3" t="str">
        <f>_xlfn.XLOOKUP(B27,'[1]G_Script Name'!$C:$C,'[1]G_Script Name'!$B:$B," ",0)</f>
        <v>SWIGGY</v>
      </c>
    </row>
    <row r="28" spans="1:11" x14ac:dyDescent="0.3">
      <c r="A28" t="s">
        <v>56</v>
      </c>
      <c r="B28" t="s">
        <v>57</v>
      </c>
      <c r="C28">
        <v>10</v>
      </c>
      <c r="D28" t="s">
        <v>36</v>
      </c>
      <c r="E28">
        <v>480.5</v>
      </c>
      <c r="F28">
        <v>4805</v>
      </c>
      <c r="G28" t="s">
        <v>58</v>
      </c>
      <c r="H28">
        <v>482.9</v>
      </c>
      <c r="I28">
        <v>4829</v>
      </c>
      <c r="J28">
        <v>24</v>
      </c>
      <c r="K28" s="3" t="str">
        <f>_xlfn.XLOOKUP(B28,'[1]G_Script Name'!$C:$C,'[1]G_Script Name'!$B:$B," ",0)</f>
        <v>VBL</v>
      </c>
    </row>
    <row r="29" spans="1:11" x14ac:dyDescent="0.3">
      <c r="A29" t="s">
        <v>56</v>
      </c>
      <c r="B29" t="s">
        <v>57</v>
      </c>
      <c r="C29">
        <v>10</v>
      </c>
      <c r="D29" t="s">
        <v>47</v>
      </c>
      <c r="E29">
        <v>477.5</v>
      </c>
      <c r="F29">
        <v>4775</v>
      </c>
      <c r="G29" t="s">
        <v>58</v>
      </c>
      <c r="H29">
        <v>482.9</v>
      </c>
      <c r="I29">
        <v>4829</v>
      </c>
      <c r="J29">
        <v>54</v>
      </c>
      <c r="K29" s="3" t="str">
        <f>_xlfn.XLOOKUP(B29,'[1]G_Script Name'!$C:$C,'[1]G_Script Name'!$B:$B," ",0)</f>
        <v>VBL</v>
      </c>
    </row>
    <row r="30" spans="1:11" x14ac:dyDescent="0.3">
      <c r="A30" t="s">
        <v>20</v>
      </c>
      <c r="B30" t="s">
        <v>21</v>
      </c>
      <c r="C30">
        <v>5</v>
      </c>
      <c r="D30" t="s">
        <v>47</v>
      </c>
      <c r="E30">
        <v>1566</v>
      </c>
      <c r="F30">
        <v>7830</v>
      </c>
      <c r="G30" t="s">
        <v>59</v>
      </c>
      <c r="H30">
        <v>1585</v>
      </c>
      <c r="I30">
        <v>7925</v>
      </c>
      <c r="J30">
        <v>95</v>
      </c>
      <c r="K30" s="3" t="str">
        <f>_xlfn.XLOOKUP(B30,'[1]G_Script Name'!$C:$C,'[1]G_Script Name'!$B:$B," ",0)</f>
        <v>INFY</v>
      </c>
    </row>
    <row r="31" spans="1:11" x14ac:dyDescent="0.3">
      <c r="A31" t="s">
        <v>39</v>
      </c>
      <c r="B31" t="s">
        <v>40</v>
      </c>
      <c r="C31">
        <v>6</v>
      </c>
      <c r="D31" t="s">
        <v>58</v>
      </c>
      <c r="E31">
        <v>712</v>
      </c>
      <c r="F31">
        <v>4272</v>
      </c>
      <c r="G31" t="s">
        <v>60</v>
      </c>
      <c r="H31">
        <v>733</v>
      </c>
      <c r="I31">
        <v>4398</v>
      </c>
      <c r="J31">
        <v>126</v>
      </c>
      <c r="K31" s="3" t="str">
        <f>_xlfn.XLOOKUP(B31,'[1]G_Script Name'!$C:$C,'[1]G_Script Name'!$B:$B," ",0)</f>
        <v>TMPV</v>
      </c>
    </row>
    <row r="32" spans="1:11" x14ac:dyDescent="0.3">
      <c r="A32" t="s">
        <v>56</v>
      </c>
      <c r="B32" t="s">
        <v>57</v>
      </c>
      <c r="C32">
        <v>10</v>
      </c>
      <c r="D32" t="s">
        <v>61</v>
      </c>
      <c r="E32">
        <v>478</v>
      </c>
      <c r="F32">
        <v>4780</v>
      </c>
      <c r="G32" t="s">
        <v>62</v>
      </c>
      <c r="H32">
        <v>484.45</v>
      </c>
      <c r="I32">
        <v>4844.5</v>
      </c>
      <c r="J32">
        <v>64.5</v>
      </c>
      <c r="K32" s="3" t="str">
        <f>_xlfn.XLOOKUP(B32,'[1]G_Script Name'!$C:$C,'[1]G_Script Name'!$B:$B," ",0)</f>
        <v>VBL</v>
      </c>
    </row>
    <row r="33" spans="1:11" x14ac:dyDescent="0.3">
      <c r="A33" t="s">
        <v>56</v>
      </c>
      <c r="B33" t="s">
        <v>57</v>
      </c>
      <c r="C33">
        <v>1</v>
      </c>
      <c r="D33" t="s">
        <v>61</v>
      </c>
      <c r="E33">
        <v>474.4</v>
      </c>
      <c r="F33">
        <v>474.4</v>
      </c>
      <c r="G33" t="s">
        <v>62</v>
      </c>
      <c r="H33">
        <v>484.45</v>
      </c>
      <c r="I33">
        <v>484.45</v>
      </c>
      <c r="J33">
        <v>10.050000000000001</v>
      </c>
      <c r="K33" s="3" t="str">
        <f>_xlfn.XLOOKUP(B33,'[1]G_Script Name'!$C:$C,'[1]G_Script Name'!$B:$B," ",0)</f>
        <v>VBL</v>
      </c>
    </row>
    <row r="34" spans="1:11" x14ac:dyDescent="0.3">
      <c r="A34" t="s">
        <v>63</v>
      </c>
      <c r="B34" t="s">
        <v>64</v>
      </c>
      <c r="C34">
        <v>1</v>
      </c>
      <c r="D34" t="s">
        <v>59</v>
      </c>
      <c r="E34">
        <v>3362</v>
      </c>
      <c r="F34">
        <v>3362</v>
      </c>
      <c r="G34" t="s">
        <v>60</v>
      </c>
      <c r="H34">
        <v>3409</v>
      </c>
      <c r="I34">
        <v>3409</v>
      </c>
      <c r="J34">
        <v>47</v>
      </c>
      <c r="K34" s="3" t="str">
        <f>_xlfn.XLOOKUP(B34,'[1]G_Script Name'!$C:$C,'[1]G_Script Name'!$B:$B," ",0)</f>
        <v>MAZDOCK</v>
      </c>
    </row>
    <row r="35" spans="1:11" x14ac:dyDescent="0.3">
      <c r="A35" t="s">
        <v>10</v>
      </c>
      <c r="B35" t="s">
        <v>11</v>
      </c>
      <c r="C35">
        <v>4</v>
      </c>
      <c r="D35" t="s">
        <v>27</v>
      </c>
      <c r="E35">
        <v>1370</v>
      </c>
      <c r="F35">
        <v>5480</v>
      </c>
      <c r="G35" t="s">
        <v>65</v>
      </c>
      <c r="H35">
        <v>1397</v>
      </c>
      <c r="I35">
        <v>5588</v>
      </c>
      <c r="J35">
        <v>108</v>
      </c>
      <c r="K35" s="3" t="str">
        <f>_xlfn.XLOOKUP(B35,'[1]G_Script Name'!$C:$C,'[1]G_Script Name'!$B:$B," ",0)</f>
        <v>KPITTECH</v>
      </c>
    </row>
    <row r="36" spans="1:11" x14ac:dyDescent="0.3">
      <c r="A36" t="s">
        <v>56</v>
      </c>
      <c r="B36" t="s">
        <v>57</v>
      </c>
      <c r="C36">
        <v>1</v>
      </c>
      <c r="D36" t="s">
        <v>66</v>
      </c>
      <c r="E36">
        <v>468.5</v>
      </c>
      <c r="F36">
        <v>468.5</v>
      </c>
      <c r="G36" t="s">
        <v>62</v>
      </c>
      <c r="H36">
        <v>484.45</v>
      </c>
      <c r="I36">
        <v>484.45</v>
      </c>
      <c r="J36">
        <v>15.95</v>
      </c>
      <c r="K36" s="3" t="str">
        <f>_xlfn.XLOOKUP(B36,'[1]G_Script Name'!$C:$C,'[1]G_Script Name'!$B:$B," ",0)</f>
        <v>VBL</v>
      </c>
    </row>
    <row r="37" spans="1:11" x14ac:dyDescent="0.3">
      <c r="A37" t="s">
        <v>39</v>
      </c>
      <c r="B37" t="s">
        <v>40</v>
      </c>
      <c r="C37">
        <v>8</v>
      </c>
      <c r="D37" t="s">
        <v>66</v>
      </c>
      <c r="E37">
        <v>706.5</v>
      </c>
      <c r="F37">
        <v>5652</v>
      </c>
      <c r="G37" t="s">
        <v>67</v>
      </c>
      <c r="H37">
        <v>714</v>
      </c>
      <c r="I37">
        <v>5712</v>
      </c>
      <c r="J37">
        <v>60</v>
      </c>
      <c r="K37" s="3" t="str">
        <f>_xlfn.XLOOKUP(B37,'[1]G_Script Name'!$C:$C,'[1]G_Script Name'!$B:$B," ",0)</f>
        <v>TMPV</v>
      </c>
    </row>
    <row r="38" spans="1:11" x14ac:dyDescent="0.3">
      <c r="A38" t="s">
        <v>39</v>
      </c>
      <c r="B38" t="s">
        <v>40</v>
      </c>
      <c r="C38">
        <v>8</v>
      </c>
      <c r="D38" t="s">
        <v>65</v>
      </c>
      <c r="E38">
        <v>686</v>
      </c>
      <c r="F38">
        <v>5488</v>
      </c>
      <c r="G38" t="s">
        <v>67</v>
      </c>
      <c r="H38">
        <v>714</v>
      </c>
      <c r="I38">
        <v>5712</v>
      </c>
      <c r="J38">
        <v>224</v>
      </c>
      <c r="K38" s="3" t="str">
        <f>_xlfn.XLOOKUP(B38,'[1]G_Script Name'!$C:$C,'[1]G_Script Name'!$B:$B," ",0)</f>
        <v>TMPV</v>
      </c>
    </row>
    <row r="39" spans="1:11" x14ac:dyDescent="0.3">
      <c r="A39" t="s">
        <v>68</v>
      </c>
      <c r="B39" t="s">
        <v>69</v>
      </c>
      <c r="C39">
        <v>3</v>
      </c>
      <c r="D39" t="s">
        <v>70</v>
      </c>
      <c r="E39">
        <v>1105</v>
      </c>
      <c r="F39">
        <v>3315</v>
      </c>
      <c r="G39" t="s">
        <v>71</v>
      </c>
      <c r="H39">
        <v>1128</v>
      </c>
      <c r="I39">
        <v>3384</v>
      </c>
      <c r="J39">
        <v>69</v>
      </c>
      <c r="K39" s="3" t="str">
        <f>_xlfn.XLOOKUP(B39,'[1]G_Script Name'!$C:$C,'[1]G_Script Name'!$B:$B," ",0)</f>
        <v>AXISBANK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G_Trade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2025-11-17T16:33:40Z</dcterms:created>
  <dcterms:modified xsi:type="dcterms:W3CDTF">2025-11-18T15:31:45Z</dcterms:modified>
</cp:coreProperties>
</file>